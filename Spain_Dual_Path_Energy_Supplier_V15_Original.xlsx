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da70dab7b43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7-2041 transition" sheetId="1" r:id="R8a20207762ee4bf3"/>
    <x:sheet xmlns:r="http://schemas.openxmlformats.org/officeDocument/2006/relationships" name="Completed scenarios" sheetId="2" r:id="Ree023a42307441f3"/>
    <x:sheet xmlns:r="http://schemas.openxmlformats.org/officeDocument/2006/relationships" name="Reconciliation" sheetId="3" r:id="Rf2ba2c3ff7d44f74"/>
    <x:sheet xmlns:r="http://schemas.openxmlformats.org/officeDocument/2006/relationships" name="Readme and sources" sheetId="4" r:id="R318638c3a48b40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.00"/>
    <x:numFmt numFmtId="202" formatCode="#,##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B496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d2b4866bc34b1e" /><Relationship Type="http://schemas.openxmlformats.org/officeDocument/2006/relationships/theme" Target="/xl/theme/theme1.xml" Id="R86984460e638498b" /><Relationship Type="http://schemas.openxmlformats.org/officeDocument/2006/relationships/sharedStrings" Target="/xl/sharedStrings.xml" Id="R9ee5a77d25c1479b" /><Relationship Type="http://schemas.openxmlformats.org/officeDocument/2006/relationships/worksheet" Target="/xl/worksheets/sheet1.xml" Id="R8a20207762ee4bf3" /><Relationship Type="http://schemas.openxmlformats.org/officeDocument/2006/relationships/worksheet" Target="/xl/worksheets/sheet2.xml" Id="Ree023a42307441f3" /><Relationship Type="http://schemas.openxmlformats.org/officeDocument/2006/relationships/worksheet" Target="/xl/worksheets/sheet3.xml" Id="Rf2ba2c3ff7d44f74" /><Relationship Type="http://schemas.openxmlformats.org/officeDocument/2006/relationships/worksheet" Target="/xl/worksheets/sheet4.xml" Id="R318638c3a48b40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36" customHeight="1">
      <x:c r="A1" s="11" t="str">
        <x:v>Year</x:v>
      </x:c>
      <x:c r="B1" s="11" t="str">
        <x:v>Fuel and energy cost €bn</x:v>
      </x:c>
      <x:c r="C1" s="11" t="str">
        <x:v>Idle kelp €bn</x:v>
      </x:c>
      <x:c r="D1" s="11" t="str">
        <x:v>Idle CSP €bn</x:v>
      </x:c>
      <x:c r="E1" s="11" t="str">
        <x:v>Fish margin €bn</x:v>
      </x:c>
      <x:c r="F1" s="11" t="str">
        <x:v>Gross supplier €bn</x:v>
      </x:c>
      <x:c r="G1" s="11" t="str">
        <x:v>Net supplier €bn</x:v>
      </x:c>
      <x:c r="H1" s="11" t="str">
        <x:v>Fossil Oct-2026 €bn</x:v>
      </x:c>
      <x:c r="I1" s="11" t="str">
        <x:v>Fossil 2025 €bn</x:v>
      </x:c>
      <x:c r="J1" s="11" t="str">
        <x:v>Saving vs Oct €bn</x:v>
      </x:c>
      <x:c r="K1" s="11" t="str">
        <x:v>Saving vs Oct %</x:v>
      </x:c>
      <x:c r="L1" s="11" t="str">
        <x:v>Fossil fuel TWh</x:v>
      </x:c>
      <x:c r="M1" s="11" t="str">
        <x:v>e-methane TWh</x:v>
      </x:c>
      <x:c r="N1" s="11" t="str">
        <x:v>Screen MtCO2e</x:v>
      </x:c>
      <x:c r="O1" s="11" t="str">
        <x:v>Kelp km2</x:v>
      </x:c>
    </x:row>
    <x:row r="2">
      <x:c r="A2" t="n">
        <x:v>2027</x:v>
      </x:c>
      <x:c r="B2" s="4" t="n">
        <x:v>80.683875272</x:v>
      </x:c>
      <x:c r="C2" s="4" t="n">
        <x:v>0.435324907</x:v>
      </x:c>
      <x:c r="D2" s="4" t="n">
        <x:v>0.061024219</x:v>
      </x:c>
      <x:c r="E2" s="4" t="n">
        <x:v>0.123272273171</x:v>
      </x:c>
      <x:c r="F2" s="4" t="n">
        <x:f>SUM(B2:D2)</x:f>
        <x:v>81.180224398</x:v>
      </x:c>
      <x:c r="G2" s="4" t="n">
        <x:f>F2-E2</x:f>
        <x:v>81.056952124829</x:v>
      </x:c>
      <x:c r="H2" s="4" t="n">
        <x:v>69.317364044</x:v>
      </x:c>
      <x:c r="I2" s="4" t="n">
        <x:v>41.604653864</x:v>
      </x:c>
      <x:c r="J2" s="4" t="n">
        <x:f>H2-G2</x:f>
        <x:v>-11.739588080828995</x:v>
      </x:c>
      <x:c r="K2" s="2" t="n">
        <x:f>J2/H2</x:f>
        <x:v>-0.16935998999294252</x:v>
      </x:c>
      <x:c r="L2" s="6" t="n">
        <x:v>500.535046986</x:v>
      </x:c>
      <x:c r="M2" s="6" t="n">
        <x:v>0</x:v>
      </x:c>
      <x:c r="N2" s="6" t="n">
        <x:v>170.048651456</x:v>
      </x:c>
      <x:c r="O2" s="6" t="n">
        <x:v>1360.5</x:v>
      </x:c>
    </x:row>
    <x:row r="3">
      <x:c r="A3" t="n">
        <x:v>2028</x:v>
      </x:c>
      <x:c r="B3" s="4" t="n">
        <x:v>79.383342589</x:v>
      </x:c>
      <x:c r="C3" s="4" t="n">
        <x:v>1.574216048</x:v>
      </x:c>
      <x:c r="D3" s="4" t="n">
        <x:v>0.19217451</x:v>
      </x:c>
      <x:c r="E3" s="4" t="n">
        <x:v>0.123272273171</x:v>
      </x:c>
      <x:c r="F3" s="4" t="n">
        <x:f>SUM(B3:D3)</x:f>
        <x:v>81.14973314699999</x:v>
      </x:c>
      <x:c r="G3" s="4" t="n">
        <x:f>F3-E3</x:f>
        <x:v>81.026460873829</x:v>
      </x:c>
      <x:c r="H3" s="4" t="n">
        <x:v>69.117436607</x:v>
      </x:c>
      <x:c r="I3" s="4" t="n">
        <x:v>41.479771046</x:v>
      </x:c>
      <x:c r="J3" s="4" t="n">
        <x:f>H3-G3</x:f>
        <x:v>-11.909024266828993</x:v>
      </x:c>
      <x:c r="K3" s="2" t="n">
        <x:f>J3/H3</x:f>
        <x:v>-0.1723013012554763</x:v>
      </x:c>
      <x:c r="L3" s="6" t="n">
        <x:v>462.97073604</x:v>
      </x:c>
      <x:c r="M3" s="6" t="n">
        <x:v>0</x:v>
      </x:c>
      <x:c r="N3" s="6" t="n">
        <x:v>159.533572813</x:v>
      </x:c>
      <x:c r="O3" s="6" t="n">
        <x:v>1360.5</x:v>
      </x:c>
    </x:row>
    <x:row r="4">
      <x:c r="A4" t="n">
        <x:v>2029</x:v>
      </x:c>
      <x:c r="B4" s="4" t="n">
        <x:v>77.924053368</x:v>
      </x:c>
      <x:c r="C4" s="4" t="n">
        <x:v>2.57590829</x:v>
      </x:c>
      <x:c r="D4" s="4" t="n">
        <x:v>0.291015531</x:v>
      </x:c>
      <x:c r="E4" s="4" t="n">
        <x:v>0.123272273171</x:v>
      </x:c>
      <x:c r="F4" s="4" t="n">
        <x:f>SUM(B4:D4)</x:f>
        <x:v>80.790977189</x:v>
      </x:c>
      <x:c r="G4" s="4" t="n">
        <x:f>F4-E4</x:f>
        <x:v>80.667704915829</x:v>
      </x:c>
      <x:c r="H4" s="4" t="n">
        <x:v>68.917509169</x:v>
      </x:c>
      <x:c r="I4" s="4" t="n">
        <x:v>41.354888229</x:v>
      </x:c>
      <x:c r="J4" s="4" t="n">
        <x:f>H4-G4</x:f>
        <x:v>-11.750195746829007</x:v>
      </x:c>
      <x:c r="K4" s="2" t="n">
        <x:f>J4/H4</x:f>
        <x:v>-0.17049652386616432</x:v>
      </x:c>
      <x:c r="L4" s="6" t="n">
        <x:v>425.468383494</x:v>
      </x:c>
      <x:c r="M4" s="6" t="n">
        <x:v>7.776456548</x:v>
      </x:c>
      <x:c r="N4" s="6" t="n">
        <x:v>148.833469575</x:v>
      </x:c>
      <x:c r="O4" s="6" t="n">
        <x:v>1987.324820696</x:v>
      </x:c>
    </x:row>
    <x:row r="5">
      <x:c r="A5" t="n">
        <x:v>2030</x:v>
      </x:c>
      <x:c r="B5" s="4" t="n">
        <x:v>76.356534065</x:v>
      </x:c>
      <x:c r="C5" s="4" t="n">
        <x:v>3.434815167</x:v>
      </x:c>
      <x:c r="D5" s="4" t="n">
        <x:v>0.360801942</x:v>
      </x:c>
      <x:c r="E5" s="4" t="n">
        <x:v>0.123272273171</x:v>
      </x:c>
      <x:c r="F5" s="4" t="n">
        <x:f>SUM(B5:D5)</x:f>
        <x:v>80.152151174</x:v>
      </x:c>
      <x:c r="G5" s="4" t="n">
        <x:f>F5-E5</x:f>
        <x:v>80.028878900829</x:v>
      </x:c>
      <x:c r="H5" s="4" t="n">
        <x:v>68.717581732</x:v>
      </x:c>
      <x:c r="I5" s="4" t="n">
        <x:v>41.230005411</x:v>
      </x:c>
      <x:c r="J5" s="4" t="n">
        <x:f>H5-G5</x:f>
        <x:v>-11.311297168829</x:v>
      </x:c>
      <x:c r="K5" s="2" t="n">
        <x:f>J5/H5</x:f>
        <x:v>-0.16460557667677095</x:v>
      </x:c>
      <x:c r="L5" s="6" t="n">
        <x:v>388.15742261</x:v>
      </x:c>
      <x:c r="M5" s="6" t="n">
        <x:v>17.568533333</x:v>
      </x:c>
      <x:c r="N5" s="6" t="n">
        <x:v>137.708777849</x:v>
      </x:c>
      <x:c r="O5" s="6" t="n">
        <x:v>3178.926079134</x:v>
      </x:c>
    </x:row>
    <x:row r="6">
      <x:c r="A6" t="n">
        <x:v>2031</x:v>
      </x:c>
      <x:c r="B6" s="4" t="n">
        <x:v>74.692787217</x:v>
      </x:c>
      <x:c r="C6" s="4" t="n">
        <x:v>4.298074656</x:v>
      </x:c>
      <x:c r="D6" s="4" t="n">
        <x:v>0.425192028</x:v>
      </x:c>
      <x:c r="E6" s="4" t="n">
        <x:v>0.123272273171</x:v>
      </x:c>
      <x:c r="F6" s="4" t="n">
        <x:f>SUM(B6:D6)</x:f>
        <x:v>79.416053901</x:v>
      </x:c>
      <x:c r="G6" s="4" t="n">
        <x:f>F6-E6</x:f>
        <x:v>79.292781627829</x:v>
      </x:c>
      <x:c r="H6" s="4" t="n">
        <x:v>68.517654294</x:v>
      </x:c>
      <x:c r="I6" s="4" t="n">
        <x:v>41.105122594</x:v>
      </x:c>
      <x:c r="J6" s="4" t="n">
        <x:f>H6-G6</x:f>
        <x:v>-10.775127333829005</x:v>
      </x:c>
      <x:c r="K6" s="2" t="n">
        <x:f>J6/H6</x:f>
        <x:v>-0.1572605986713204</x:v>
      </x:c>
      <x:c r="L6" s="6" t="n">
        <x:v>351.110465339</x:v>
      </x:c>
      <x:c r="M6" s="6" t="n">
        <x:v>17.125111111</x:v>
      </x:c>
      <x:c r="N6" s="6" t="n">
        <x:v>126.357559871</x:v>
      </x:c>
      <x:c r="O6" s="6" t="n">
        <x:v>4495.05835411</x:v>
      </x:c>
    </x:row>
    <x:row r="7">
      <x:c r="A7" t="n">
        <x:v>2032</x:v>
      </x:c>
      <x:c r="B7" s="4" t="n">
        <x:v>72.942503552</x:v>
      </x:c>
      <x:c r="C7" s="4" t="n">
        <x:v>5.20387618</x:v>
      </x:c>
      <x:c r="D7" s="4" t="n">
        <x:v>0.489765817</x:v>
      </x:c>
      <x:c r="E7" s="4" t="n">
        <x:v>0.123272273171</x:v>
      </x:c>
      <x:c r="F7" s="4" t="n">
        <x:f>SUM(B7:D7)</x:f>
        <x:v>78.636145549</x:v>
      </x:c>
      <x:c r="G7" s="4" t="n">
        <x:f>F7-E7</x:f>
        <x:v>78.51287327582901</x:v>
      </x:c>
      <x:c r="H7" s="4" t="n">
        <x:v>68.317726857</x:v>
      </x:c>
      <x:c r="I7" s="4" t="n">
        <x:v>40.980239776</x:v>
      </x:c>
      <x:c r="J7" s="4" t="n">
        <x:f>H7-G7</x:f>
        <x:v>-10.195146418829012</x:v>
      </x:c>
      <x:c r="K7" s="2" t="n">
        <x:f>J7/H7</x:f>
        <x:v>-0.14923134723391918</x:v>
      </x:c>
      <x:c r="L7" s="6" t="n">
        <x:v>314.376407176</x:v>
      </x:c>
      <x:c r="M7" s="6" t="n">
        <x:v>16.681688889</x:v>
      </x:c>
      <x:c r="N7" s="6" t="n">
        <x:v>115.100988894</x:v>
      </x:c>
      <x:c r="O7" s="6" t="n">
        <x:v>5807.660158544</x:v>
      </x:c>
    </x:row>
    <x:row r="8">
      <x:c r="A8" t="n">
        <x:v>2033</x:v>
      </x:c>
      <x:c r="B8" s="4" t="n">
        <x:v>71.116951359</x:v>
      </x:c>
      <x:c r="C8" s="4" t="n">
        <x:v>4.895080544</x:v>
      </x:c>
      <x:c r="D8" s="4" t="n">
        <x:v>0.459088293</x:v>
      </x:c>
      <x:c r="E8" s="4" t="n">
        <x:v>0.123272273171</x:v>
      </x:c>
      <x:c r="F8" s="4" t="n">
        <x:f>SUM(B8:D8)</x:f>
        <x:v>76.47112019599999</x:v>
      </x:c>
      <x:c r="G8" s="4" t="n">
        <x:f>F8-E8</x:f>
        <x:v>76.34784792282899</x:v>
      </x:c>
      <x:c r="H8" s="4" t="n">
        <x:v>68.117799419</x:v>
      </x:c>
      <x:c r="I8" s="4" t="n">
        <x:v>40.855356959</x:v>
      </x:c>
      <x:c r="J8" s="4" t="n">
        <x:f>H8-G8</x:f>
        <x:v>-8.230048503828996</x:v>
      </x:c>
      <x:c r="K8" s="2" t="n">
        <x:f>J8/H8</x:f>
        <x:v>-0.12082082178264557</x:v>
      </x:c>
      <x:c r="L8" s="6" t="n">
        <x:v>277.991507601</x:v>
      </x:c>
      <x:c r="M8" s="6" t="n">
        <x:v>22.866337701</x:v>
      </x:c>
      <x:c r="N8" s="6" t="n">
        <x:v>103.996485472</x:v>
      </x:c>
      <x:c r="O8" s="6" t="n">
        <x:v>6649.827125243</x:v>
      </x:c>
    </x:row>
    <x:row r="9">
      <x:c r="A9" t="n">
        <x:v>2034</x:v>
      </x:c>
      <x:c r="B9" s="4" t="n">
        <x:v>69.323838101</x:v>
      </x:c>
      <x:c r="C9" s="4" t="n">
        <x:v>4.48192866</x:v>
      </x:c>
      <x:c r="D9" s="4" t="n">
        <x:v>0.421600179</x:v>
      </x:c>
      <x:c r="E9" s="4" t="n">
        <x:v>0.123272273171</x:v>
      </x:c>
      <x:c r="F9" s="4" t="n">
        <x:f>SUM(B9:D9)</x:f>
        <x:v>74.22736694</x:v>
      </x:c>
      <x:c r="G9" s="4" t="n">
        <x:f>F9-E9</x:f>
        <x:v>74.104094666829</x:v>
      </x:c>
      <x:c r="H9" s="4" t="n">
        <x:v>67.917871982</x:v>
      </x:c>
      <x:c r="I9" s="4" t="n">
        <x:v>40.730474142</x:v>
      </x:c>
      <x:c r="J9" s="4" t="n">
        <x:f>H9-G9</x:f>
        <x:v>-6.186222684829005</x:v>
      </x:c>
      <x:c r="K9" s="2" t="n">
        <x:f>J9/H9</x:f>
        <x:v>-0.09108387092087507</x:v>
      </x:c>
      <x:c r="L9" s="6" t="n">
        <x:v>241.984321279</x:v>
      </x:c>
      <x:c r="M9" s="6" t="n">
        <x:v>25</x:v>
      </x:c>
      <x:c r="N9" s="6" t="n">
        <x:v>92.971385132</x:v>
      </x:c>
      <x:c r="O9" s="6" t="n">
        <x:v>7776.601040144</x:v>
      </x:c>
    </x:row>
    <x:row r="10">
      <x:c r="A10" t="n">
        <x:v>2035</x:v>
      </x:c>
      <x:c r="B10" s="4" t="n">
        <x:v>67.556764631</x:v>
      </x:c>
      <x:c r="C10" s="4" t="n">
        <x:v>3.070320056</x:v>
      </x:c>
      <x:c r="D10" s="4" t="n">
        <x:v>0.293986048</x:v>
      </x:c>
      <x:c r="E10" s="4" t="n">
        <x:v>0.123272273171</x:v>
      </x:c>
      <x:c r="F10" s="4" t="n">
        <x:f>SUM(B10:D10)</x:f>
        <x:v>70.92107073499999</x:v>
      </x:c>
      <x:c r="G10" s="4" t="n">
        <x:f>F10-E10</x:f>
        <x:v>70.79779846182899</x:v>
      </x:c>
      <x:c r="H10" s="4" t="n">
        <x:v>67.717944544</x:v>
      </x:c>
      <x:c r="I10" s="4" t="n">
        <x:v>40.605591324</x:v>
      </x:c>
      <x:c r="J10" s="4" t="n">
        <x:f>H10-G10</x:f>
        <x:v>-3.0798539178289843</x:v>
      </x:c>
      <x:c r="K10" s="2" t="n">
        <x:f>J10/H10</x:f>
        <x:v>-0.04548061726575054</x:v>
      </x:c>
      <x:c r="L10" s="6" t="n">
        <x:v>206.094566709</x:v>
      </x:c>
      <x:c r="M10" s="6" t="n">
        <x:v>25</x:v>
      </x:c>
      <x:c r="N10" s="6" t="n">
        <x:v>82.617728893</x:v>
      </x:c>
      <x:c r="O10" s="6" t="n">
        <x:v>11626.429195919</x:v>
      </x:c>
    </x:row>
    <x:row r="11">
      <x:c r="A11" t="n">
        <x:v>2036</x:v>
      </x:c>
      <x:c r="B11" s="4" t="n">
        <x:v>65.700901</x:v>
      </x:c>
      <x:c r="C11" s="4" t="n">
        <x:v>1.718876685</x:v>
      </x:c>
      <x:c r="D11" s="4" t="n">
        <x:v>0.173848934</x:v>
      </x:c>
      <x:c r="E11" s="4" t="n">
        <x:v>0.123272273171</x:v>
      </x:c>
      <x:c r="F11" s="4" t="n">
        <x:f>SUM(B11:D11)</x:f>
        <x:v>67.593626619</x:v>
      </x:c>
      <x:c r="G11" s="4" t="n">
        <x:f>F11-E11</x:f>
        <x:v>67.47035434582901</x:v>
      </x:c>
      <x:c r="H11" s="4" t="n">
        <x:v>67.518017107</x:v>
      </x:c>
      <x:c r="I11" s="4" t="n">
        <x:v>40.480708507</x:v>
      </x:c>
      <x:c r="J11" s="4" t="n">
        <x:f>H11-G11</x:f>
        <x:v>0.047662761170997214</x:v>
      </x:c>
      <x:c r="K11" s="2" t="n">
        <x:f>J11/H11</x:f>
        <x:v>0.000705926554321983</x:v>
      </x:c>
      <x:c r="L11" s="6" t="n">
        <x:v>170.508168485</x:v>
      </x:c>
      <x:c r="M11" s="6" t="n">
        <x:v>25</x:v>
      </x:c>
      <x:c r="N11" s="6" t="n">
        <x:v>72.30826415</x:v>
      </x:c>
      <x:c r="O11" s="6" t="n">
        <x:v>15312.170926021</x:v>
      </x:c>
    </x:row>
    <x:row r="12">
      <x:c r="A12" t="n">
        <x:v>2037</x:v>
      </x:c>
      <x:c r="B12" s="4" t="n">
        <x:v>63.760487644</x:v>
      </x:c>
      <x:c r="C12" s="4" t="n">
        <x:v>0.433118627</x:v>
      </x:c>
      <x:c r="D12" s="4" t="n">
        <x:v>0.062393833</x:v>
      </x:c>
      <x:c r="E12" s="4" t="n">
        <x:v>0.123272273171</x:v>
      </x:c>
      <x:c r="F12" s="4" t="n">
        <x:f>SUM(B12:D12)</x:f>
        <x:v>64.25600010400001</x:v>
      </x:c>
      <x:c r="G12" s="4" t="n">
        <x:f>F12-E12</x:f>
        <x:v>64.13272783082901</x:v>
      </x:c>
      <x:c r="H12" s="4" t="n">
        <x:v>67.318089669</x:v>
      </x:c>
      <x:c r="I12" s="4" t="n">
        <x:v>40.355825689</x:v>
      </x:c>
      <x:c r="J12" s="4" t="n">
        <x:f>H12-G12</x:f>
        <x:v>3.1853618381709907</x:v>
      </x:c>
      <x:c r="K12" s="2" t="n">
        <x:f>J12/H12</x:f>
        <x:v>0.047318066419193866</x:v>
      </x:c>
      <x:c r="L12" s="6" t="n">
        <x:v>135.350088196</x:v>
      </x:c>
      <x:c r="M12" s="6" t="n">
        <x:v>25</x:v>
      </x:c>
      <x:c r="N12" s="6" t="n">
        <x:v>62.079272405</x:v>
      </x:c>
      <x:c r="O12" s="6" t="n">
        <x:v>18818.771521865</x:v>
      </x:c>
    </x:row>
    <x:row r="13">
      <x:c r="A13" t="n">
        <x:v>2038</x:v>
      </x:c>
      <x:c r="B13" s="4" t="n">
        <x:v>61.750313027</x:v>
      </x:c>
      <x:c r="C13" s="4" t="n">
        <x:v>0</x:v>
      </x:c>
      <x:c r="D13" s="4" t="n">
        <x:v>0.020296651</x:v>
      </x:c>
      <x:c r="E13" s="4" t="n">
        <x:v>0.123272273171</x:v>
      </x:c>
      <x:c r="F13" s="4" t="n">
        <x:f>SUM(B13:D13)</x:f>
        <x:v>61.770609678</x:v>
      </x:c>
      <x:c r="G13" s="4" t="n">
        <x:f>F13-E13</x:f>
        <x:v>61.647337404829</x:v>
      </x:c>
      <x:c r="H13" s="4" t="n">
        <x:v>67.118162232</x:v>
      </x:c>
      <x:c r="I13" s="4" t="n">
        <x:v>40.230942872</x:v>
      </x:c>
      <x:c r="J13" s="4" t="n">
        <x:f>H13-G13</x:f>
        <x:v>5.4708248271710005</x:v>
      </x:c>
      <x:c r="K13" s="2" t="n">
        <x:f>J13/H13</x:f>
        <x:v>0.08151034899109125</x:v>
      </x:c>
      <x:c r="L13" s="6" t="n">
        <x:v>100.680713026</x:v>
      </x:c>
      <x:c r="M13" s="6" t="n">
        <x:v>34.36822025</x:v>
      </x:c>
      <x:c r="N13" s="6" t="n">
        <x:v>51.719729882</x:v>
      </x:c>
      <x:c r="O13" s="6" t="n">
        <x:v>20000</x:v>
      </x:c>
    </x:row>
    <x:row r="14">
      <x:c r="A14" t="n">
        <x:v>2039</x:v>
      </x:c>
      <x:c r="B14" s="4" t="n">
        <x:v>59.830971068</x:v>
      </x:c>
      <x:c r="C14" s="4" t="n">
        <x:v>0</x:v>
      </x:c>
      <x:c r="D14" s="4" t="n">
        <x:v>0</x:v>
      </x:c>
      <x:c r="E14" s="4" t="n">
        <x:v>0.123272273171</x:v>
      </x:c>
      <x:c r="F14" s="4" t="n">
        <x:f>SUM(B14:D14)</x:f>
        <x:v>59.830971068</x:v>
      </x:c>
      <x:c r="G14" s="4" t="n">
        <x:f>F14-E14</x:f>
        <x:v>59.707698794829</x:v>
      </x:c>
      <x:c r="H14" s="4" t="n">
        <x:v>66.918234794</x:v>
      </x:c>
      <x:c r="I14" s="4" t="n">
        <x:v>40.106060055</x:v>
      </x:c>
      <x:c r="J14" s="4" t="n">
        <x:f>H14-G14</x:f>
        <x:v>7.210535999171</x:v>
      </x:c>
      <x:c r="K14" s="2" t="n">
        <x:f>J14/H14</x:f>
        <x:v>0.10775143757703406</x:v>
      </x:c>
      <x:c r="L14" s="6" t="n">
        <x:v>66.543504807</x:v>
      </x:c>
      <x:c r="M14" s="6" t="n">
        <x:v>47.785360225</x:v>
      </x:c>
      <x:c r="N14" s="6" t="n">
        <x:v>41.367309373</x:v>
      </x:c>
      <x:c r="O14" s="6" t="n">
        <x:v>20000</x:v>
      </x:c>
    </x:row>
    <x:row r="15">
      <x:c r="A15" t="n">
        <x:v>2040</x:v>
      </x:c>
      <x:c r="B15" s="4" t="n">
        <x:v>57.83951424</x:v>
      </x:c>
      <x:c r="C15" s="4" t="n">
        <x:v>0</x:v>
      </x:c>
      <x:c r="D15" s="4" t="n">
        <x:v>0</x:v>
      </x:c>
      <x:c r="E15" s="4" t="n">
        <x:v>0.123272273171</x:v>
      </x:c>
      <x:c r="F15" s="4" t="n">
        <x:f>SUM(B15:D15)</x:f>
        <x:v>57.83951424</x:v>
      </x:c>
      <x:c r="G15" s="4" t="n">
        <x:f>F15-E15</x:f>
        <x:v>57.716241966829</x:v>
      </x:c>
      <x:c r="H15" s="4" t="n">
        <x:v>66.718307357</x:v>
      </x:c>
      <x:c r="I15" s="4" t="n">
        <x:v>39.981177237</x:v>
      </x:c>
      <x:c r="J15" s="4" t="n">
        <x:f>H15-G15</x:f>
        <x:v>9.002065390170998</x:v>
      </x:c>
      <x:c r="K15" s="2" t="n">
        <x:f>J15/H15</x:f>
        <x:v>0.13492646541529074</x:v>
      </x:c>
      <x:c r="L15" s="6" t="n">
        <x:v>33.242009098</x:v>
      </x:c>
      <x:c r="M15" s="6" t="n">
        <x:v>60.473315402</x:v>
      </x:c>
      <x:c r="N15" s="6" t="n">
        <x:v>31.244852594</x:v>
      </x:c>
      <x:c r="O15" s="6" t="n">
        <x:v>20000</x:v>
      </x:c>
    </x:row>
    <x:row r="16">
      <x:c r="A16" t="n">
        <x:v>2041</x:v>
      </x:c>
      <x:c r="B16" s="4" t="n">
        <x:v>56.218411661</x:v>
      </x:c>
      <x:c r="C16" s="4" t="n">
        <x:v>0</x:v>
      </x:c>
      <x:c r="D16" s="4" t="n">
        <x:v>0</x:v>
      </x:c>
      <x:c r="E16" s="4" t="n">
        <x:v>0.123272273171</x:v>
      </x:c>
      <x:c r="F16" s="4" t="n">
        <x:f>SUM(B16:D16)</x:f>
        <x:v>56.218411661</x:v>
      </x:c>
      <x:c r="G16" s="4" t="n">
        <x:f>F16-E16</x:f>
        <x:v>56.095139387829</x:v>
      </x:c>
      <x:c r="H16" s="4" t="n">
        <x:v>66.518379919</x:v>
      </x:c>
      <x:c r="I16" s="4" t="n">
        <x:v>39.85629442</x:v>
      </x:c>
      <x:c r="J16" s="4" t="n">
        <x:f>H16-G16</x:f>
        <x:v>10.423240531170997</x:v>
      </x:c>
      <x:c r="K16" s="2" t="n">
        <x:f>J16/H16</x:f>
        <x:v>0.15669714962786926</x:v>
      </x:c>
      <x:c r="L16" s="6" t="n">
        <x:v>0</x:v>
      </x:c>
      <x:c r="M16" s="6" t="n">
        <x:v>72.830676156</x:v>
      </x:c>
      <x:c r="N16" s="6" t="n">
        <x:v>21.399824971</x:v>
      </x:c>
      <x:c r="O16" s="6" t="n">
        <x:v>20000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65" hidden="0" customWidth="1"/>
  </x:cols>
  <x:sheetData>
    <x:row r="1" ht="36" customHeight="1">
      <x:c r="A1" s="10" t="str">
        <x:v>Scenario</x:v>
      </x:c>
      <x:c r="B1" s="10" t="str">
        <x:v>Energy supply €bn</x:v>
      </x:c>
      <x:c r="C1" s="10" t="str">
        <x:v>Optional fish margin €bn</x:v>
      </x:c>
      <x:c r="D1" s="10" t="str">
        <x:v>Net supplier €bn</x:v>
      </x:c>
      <x:c r="E1" s="10" t="str">
        <x:v>Fossil Oct-2026 €bn</x:v>
      </x:c>
      <x:c r="F1" s="10" t="str">
        <x:v>Saving %</x:v>
      </x:c>
      <x:c r="G1" s="10" t="str">
        <x:v>Notes</x:v>
      </x:c>
    </x:row>
    <x:row r="2">
      <x:c r="A2" t="str">
        <x:v>Completed learning target</x:v>
      </x:c>
      <x:c r="B2" s="4" t="n">
        <x:v>42.7772369743691</x:v>
      </x:c>
      <x:c r="C2" s="4" t="n">
        <x:v>0</x:v>
      </x:c>
      <x:c r="D2" s="4" t="n">
        <x:f>B2-C2</x:f>
        <x:v>42.7772369743691</x:v>
      </x:c>
      <x:c r="E2" s="4" t="n">
        <x:v>66.51837991905556</x:v>
      </x:c>
      <x:c r="F2" s="2" t="n">
        <x:f>(E2-D2)/E2</x:f>
        <x:v>0.35691102178941253</x:v>
      </x:c>
      <x:c r="G2" s="16" t="str">
        <x:v>Fully electrified static learning target; heat technology free choice</x:v>
      </x:c>
    </x:row>
    <x:row r="3">
      <x:c r="A3" t="str">
        <x:v>Completed Monte Carlo median</x:v>
      </x:c>
      <x:c r="B3" s="4" t="n">
        <x:v>50.51084634792244</x:v>
      </x:c>
      <x:c r="C3" s="4" t="n">
        <x:v>0</x:v>
      </x:c>
      <x:c r="D3" s="4" t="n">
        <x:f>B3-C3</x:f>
        <x:v>50.51084634792244</x:v>
      </x:c>
      <x:c r="E3" s="4" t="n">
        <x:v>66.51837991905556</x:v>
      </x:c>
      <x:c r="F3" s="2" t="n">
        <x:f>(E3-D3)/E3</x:f>
        <x:v>0.24064827782354686</x:v>
      </x:c>
      <x:c r="G3" s="16" t="str">
        <x:v>1000 parametric draws, median; NOT transition uncertainty</x:v>
      </x:c>
    </x:row>
    <x:row r="4">
      <x:c r="A4" t="str">
        <x:v>Completed Monte Carlo p5</x:v>
      </x:c>
      <x:c r="B4" s="4" t="n">
        <x:v>46.07902417336794</x:v>
      </x:c>
      <x:c r="C4" s="4" t="n">
        <x:v>0</x:v>
      </x:c>
      <x:c r="D4" s="4" t="n">
        <x:f>B4-C4</x:f>
        <x:v>46.07902417336794</x:v>
      </x:c>
      <x:c r="E4" s="4" t="n">
        <x:v>66.51837991905556</x:v>
      </x:c>
      <x:c r="F4" s="2" t="n">
        <x:f>(E4-D4)/E4</x:f>
        <x:v>0.3072738056843797</x:v>
      </x:c>
      <x:c r="G4" s="16" t="str">
        <x:v>5th percentile completed scenario</x:v>
      </x:c>
    </x:row>
    <x:row r="5">
      <x:c r="A5" t="str">
        <x:v>Completed Monte Carlo p95</x:v>
      </x:c>
      <x:c r="B5" s="4" t="n">
        <x:v>55.85063264831241</x:v>
      </x:c>
      <x:c r="C5" s="4" t="n">
        <x:v>0</x:v>
      </x:c>
      <x:c r="D5" s="4" t="n">
        <x:f>B5-C5</x:f>
        <x:v>55.85063264831241</x:v>
      </x:c>
      <x:c r="E5" s="4" t="n">
        <x:v>66.51837991905556</x:v>
      </x:c>
      <x:c r="F5" s="2" t="n">
        <x:f>(E5-D5)/E5</x:f>
        <x:v>0.16037292675685194</x:v>
      </x:c>
      <x:c r="G5" s="16" t="str">
        <x:v>95th percentile completed scenario</x:v>
      </x:c>
    </x:row>
    <x:row r="6">
      <x:c r="A6" t="str">
        <x:v>2041 transition gross</x:v>
      </x:c>
      <x:c r="B6" s="4" t="n">
        <x:v>56.218411661498</x:v>
      </x:c>
      <x:c r="C6" s="4" t="n">
        <x:v>0</x:v>
      </x:c>
      <x:c r="D6" s="4" t="n">
        <x:f>B6-C6</x:f>
        <x:v>56.218411661498</x:v>
      </x:c>
      <x:c r="E6" s="4" t="n">
        <x:v>66.51837991905556</x:v>
      </x:c>
      <x:c r="F6" s="2" t="n">
        <x:f>(E6-D6)/E6</x:f>
        <x:v>0.15484394343475164</x:v>
      </x:c>
      <x:c r="G6" s="16" t="str">
        <x:v>2041 constraints incl CSP and retained combustion</x:v>
      </x:c>
    </x:row>
    <x:row r="7">
      <x:c r="A7" t="str">
        <x:v>2041 transition with fish</x:v>
      </x:c>
      <x:c r="B7" s="4" t="n">
        <x:v>56.218411661498</x:v>
      </x:c>
      <x:c r="C7" s="4" t="n">
        <x:v>0.123272273171</x:v>
      </x:c>
      <x:c r="D7" s="4" t="n">
        <x:f>B7-C7</x:f>
        <x:v>56.095139388327006</x:v>
      </x:c>
      <x:c r="E7" s="4" t="n">
        <x:v>66.51837991905556</x:v>
      </x:c>
      <x:c r="F7" s="2" t="n">
        <x:f>(E7-D7)/E7</x:f>
        <x:v>0.15669714962108697</x:v>
      </x:c>
      <x:c r="G7" s="16" t="str">
        <x:v>Only fish net margin, not full fish sales</x:v>
      </x:c>
    </x:row>
    <x:row r="8">
      <x:c r="A8" t="str">
        <x:v>2041 methane-free</x:v>
      </x:c>
      <x:c r="B8" s="4" t="n">
        <x:v>63.86898638577006</x:v>
      </x:c>
      <x:c r="C8" s="4" t="n">
        <x:v>0</x:v>
      </x:c>
      <x:c r="D8" s="4" t="n">
        <x:f>B8-C8</x:f>
        <x:v>63.86898638577006</x:v>
      </x:c>
      <x:c r="E8" s="4" t="n">
        <x:v>66.51837991905556</x:v>
      </x:c>
      <x:c r="F8" s="2" t="n">
        <x:f>(E8-D8)/E8</x:f>
        <x:v>0.039829495795139336</x:v>
      </x:c>
      <x:c r="G8" s="16" t="str">
        <x:v>Forced methane-free end-use transport; separate sensitivity</x:v>
      </x:c>
    </x:row>
    <x:row r="9">
      <x:c r="A9" t="str">
        <x:v>Completed no-kelp sensitivity</x:v>
      </x:c>
      <x:c r="B9" s="4" t="n">
        <x:v>48.37400685508864</x:v>
      </x:c>
      <x:c r="C9" s="4" t="n">
        <x:v>0</x:v>
      </x:c>
      <x:c r="D9" s="4" t="n">
        <x:f>B9-C9</x:f>
        <x:v>48.37400685508864</x:v>
      </x:c>
      <x:c r="E9" s="4" t="n">
        <x:v>66.51837991905556</x:v>
      </x:c>
      <x:c r="F9" s="2" t="n">
        <x:f>(E9-D9)/E9</x:f>
        <x:v>0.2727723237704575</x:v>
      </x:c>
      <x:c r="G9" s="16" t="str">
        <x:v>Completed scenario only</x:v>
      </x:c>
    </x:row>
    <x:row r="10">
      <x:c r="A10" t="str">
        <x:v>Completed yield 5 dry t/ha</x:v>
      </x:c>
      <x:c r="B10" s="4" t="n">
        <x:v>47.600896037523725</x:v>
      </x:c>
      <x:c r="C10" s="4" t="n">
        <x:v>0</x:v>
      </x:c>
      <x:c r="D10" s="4" t="n">
        <x:f>B10-C10</x:f>
        <x:v>47.600896037523725</x:v>
      </x:c>
      <x:c r="E10" s="4" t="n">
        <x:v>66.51837991905556</x:v>
      </x:c>
      <x:c r="F10" s="2" t="n">
        <x:f>(E10-D10)/E10</x:f>
        <x:v>0.28439483800645804</x:v>
      </x:c>
      <x:c r="G10" s="16" t="str">
        <x:v>Completed scenario only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20" hidden="0" customWidth="1"/>
    <x:col min="3" max="3" width="70" hidden="0" customWidth="1"/>
  </x:cols>
  <x:sheetData>
    <x:row r="1" ht="26" customHeight="1">
      <x:c r="A1" s="9" t="str">
        <x:v>Definition</x:v>
      </x:c>
      <x:c r="B1" s="9" t="str">
        <x:v>Value</x:v>
      </x:c>
      <x:c r="C1" s="9" t="str">
        <x:v>Reference / interpretation</x:v>
      </x:c>
    </x:row>
    <x:row r="2">
      <x:c r="A2" t="str">
        <x:v>Completed-to-transition cost gap €bn</x:v>
      </x:c>
      <x:c r="B2" t="n">
        <x:f>'Completed scenarios'!B6-'Completed scenarios'!B2</x:f>
        <x:v>13.4411746871289</x:v>
      </x:c>
      <x:c r="C2" t="str">
        <x:v>Transition energy vs completed learning point; different constraints</x:v>
      </x:c>
    </x:row>
    <x:row r="3">
      <x:c r="A3" t="str">
        <x:v>Fish gross first-sale €bn/year</x:v>
      </x:c>
      <x:c r="B3" t="n">
        <x:v>0.287688364716</x:v>
      </x:c>
      <x:c r="C3" t="str">
        <x:v>NOT a fuel supplier saving</x:v>
      </x:c>
    </x:row>
    <x:row r="4">
      <x:c r="A4" t="str">
        <x:v>Fish annual operating margin €bn/year</x:v>
      </x:c>
      <x:c r="B4" t="n">
        <x:v>0.123272273171</x:v>
      </x:c>
      <x:c r="C4" t="str">
        <x:v>Conditional only; may not persist at scale</x:v>
      </x:c>
    </x:row>
    <x:row r="5">
      <x:c r="A5" t="str">
        <x:v>Historical fossil at Oct-2026 €bn</x:v>
      </x:c>
      <x:c r="B5" t="n">
        <x:v>66.51837991905556</x:v>
      </x:c>
      <x:c r="C5" t="str">
        <x:v>Same-demand comparator, 2041 equivalent</x:v>
      </x:c>
    </x:row>
    <x:row r="6">
      <x:c r="A6" t="str">
        <x:v>Completed learning energy €bn</x:v>
      </x:c>
      <x:c r="B6" t="n">
        <x:v>42.7772369743691</x:v>
      </x:c>
      <x:c r="C6" t="str">
        <x:v>Original national static model</x:v>
      </x:c>
    </x:row>
    <x:row r="7">
      <x:c r="A7" t="str">
        <x:v>Completed median energy €bn</x:v>
      </x:c>
      <x:c r="B7" t="n">
        <x:v>50.51084634792244</x:v>
      </x:c>
      <x:c r="C7" t="str">
        <x:v>Static 1000-draw uncertainty</x:v>
      </x:c>
    </x:row>
    <x:row r="8">
      <x:c r="A8" t="str">
        <x:v>Term e-methane TWh</x:v>
      </x:c>
      <x:c r="B8" t="n">
        <x:v>72.83067615585037</x:v>
      </x:c>
      <x:c r="C8" t="str">
        <x:v>Synthetic non-fossil methane used in retained combustion vehicles</x:v>
      </x:c>
    </x:row>
    <x:row r="9">
      <x:c r="A9" t="str">
        <x:v>Terminal CSP industrial heat TWh</x:v>
      </x:c>
      <x:c r="B9" t="n">
        <x:v>14</x:v>
      </x:c>
      <x:c r="C9" t="str">
        <x:v>Separate heat duty for HTL and ethanol</x:v>
      </x:c>
    </x:row>
    <x:row r="10">
      <x:c r="A10" t="str">
        <x:v>Term PV generation TWh</x:v>
      </x:c>
      <x:c r="B10" t="n">
        <x:v>269.202570503</x:v>
      </x:c>
      <x:c r="C10" t="str">
        <x:v>Additional modeled generation, annual</x:v>
      </x:c>
    </x:row>
    <x:row r="11">
      <x:c r="A11" t="str">
        <x:v>Term onshore wind TWh</x:v>
      </x:c>
      <x:c r="B11" t="n">
        <x:v>78.55792292</x:v>
      </x:c>
      <x:c r="C11" t="str">
        <x:v>Additional modeled generation, annual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0" hidden="0" customWidth="1"/>
  </x:cols>
  <x:sheetData>
    <x:row r="1" ht="27" customHeight="1">
      <x:c r="A1" s="9" t="str">
        <x:v>Item</x:v>
      </x:c>
      <x:c r="B1" s="9" t="str">
        <x:v>Explanation/source</x:v>
      </x:c>
    </x:row>
    <x:row r="2">
      <x:c r="A2" t="str">
        <x:v>Model scope</x:v>
      </x:c>
      <x:c r="B2" s="16" t="str">
        <x:v>15 annual constrained solves PLUS a distinct completed static optimizer. This workbook links published output tables; it is not an intertemporal optimized system.</x:v>
      </x:c>
    </x:row>
    <x:row r="3">
      <x:c r="A3" t="str">
        <x:v>Owner boundary</x:v>
      </x:c>
      <x:c r="B3" s="16" t="str">
        <x:v>No household/freight vehicle purchases, retrofit kits, scrappage or premiums are added to supplier cost.</x:v>
      </x:c>
    </x:row>
    <x:row r="4">
      <x:c r="A4" t="str">
        <x:v>Static MC</x:v>
      </x:c>
      <x:c r="B4" s="16" t="str">
        <x:v>The 1000 individual Monte Carlo source draws are attached as CSV; 5th/median/95th quantiles are not transition uncertainty intervals.</x:v>
      </x:c>
    </x:row>
    <x:row r="5">
      <x:c r="A5" t="str">
        <x:v>Fossil prices</x:v>
      </x:c>
      <x:c r="B5" s="16" t="str">
        <x:v>October 2026 is a price shock scenario, not the predicted future annual price.</x:v>
      </x:c>
    </x:row>
    <x:row r="6">
      <x:c r="A6" t="str">
        <x:v>Fish margin</x:v>
      </x:c>
      <x:c r="B6" s="16" t="str">
        <x:v>Subtract net fish operating contribution only where co-located fish farming assumed; never gross first-sale revenues.</x:v>
      </x:c>
    </x:row>
    <x:row r="7">
      <x:c r="A7" t="str">
        <x:v>Materials</x:v>
      </x:c>
      <x:c r="B7" s="16" t="str">
        <x:v>Grid Harvester and deep-ocean farm concept are research proposals, not full-scale validated operating systems.</x:v>
      </x:c>
    </x:row>
    <x:row r="8">
      <x:c r="A8" t="str">
        <x:v>Journal requirements</x:v>
      </x:c>
      <x:c r="B8" s="16" t="str">
        <x:v>https://www.nature.com/natsustain/content</x:v>
      </x:c>
    </x:row>
    <x:row r="9">
      <x:c r="A9" t="str">
        <x:v>Source model</x:v>
      </x:c>
      <x:c r="B9" s="16" t="str">
        <x:v>https://github.com/bcjohnjr/spain-kelp-transport-V2</x:v>
      </x:c>
    </x:row>
    <x:row r="10">
      <x:c r="A10" t="str">
        <x:v>Current inputs</x:v>
      </x:c>
      <x:c r="B10" s="16" t="str">
        <x:v>2027-2041 annual transition source CSV in adjacent Source_Data directory.</x:v>
      </x:c>
    </x:row>
    <x:row r="11">
      <x:c r="A11" t="str">
        <x:v>Static inputs</x:v>
      </x:c>
      <x:c r="B11" s="16" t="str">
        <x:v>Static Monte Carlo and robustness CSV from earlier national model in adjacent Source_Data directory.</x:v>
      </x:c>
    </x:row>
  </x:sheetData>
  <x:pageMargins left="0.7" right="0.7" top="0.75" bottom="0.75" header="0.3" footer="0.3"/>
</x:worksheet>
</file>