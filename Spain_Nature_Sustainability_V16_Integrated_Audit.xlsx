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eceed3ae0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Comparison" sheetId="1" r:id="R380d871277e94eb1"/>
    <x:sheet xmlns:r="http://schemas.openxmlformats.org/officeDocument/2006/relationships" name="2041 Yield Stress" sheetId="2" r:id="R5f096cf66f3f4712"/>
    <x:sheet xmlns:r="http://schemas.openxmlformats.org/officeDocument/2006/relationships" name="Annual Transition" sheetId="3" r:id="R0b6d94db453049bf"/>
    <x:sheet xmlns:r="http://schemas.openxmlformats.org/officeDocument/2006/relationships" name="Materials Screen" sheetId="4" r:id="R9243801e9aea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ee5f18c8742fc" /><Relationship Type="http://schemas.openxmlformats.org/officeDocument/2006/relationships/theme" Target="/xl/theme/theme1.xml" Id="R8cf20074e4824583" /><Relationship Type="http://schemas.openxmlformats.org/officeDocument/2006/relationships/sharedStrings" Target="/xl/sharedStrings.xml" Id="R0b98ca9e91094786" /><Relationship Type="http://schemas.openxmlformats.org/officeDocument/2006/relationships/worksheet" Target="/xl/worksheets/sheet1.xml" Id="R380d871277e94eb1" /><Relationship Type="http://schemas.openxmlformats.org/officeDocument/2006/relationships/worksheet" Target="/xl/worksheets/sheet2.xml" Id="R5f096cf66f3f4712" /><Relationship Type="http://schemas.openxmlformats.org/officeDocument/2006/relationships/worksheet" Target="/xl/worksheets/sheet3.xml" Id="R0b6d94db453049bf" /><Relationship Type="http://schemas.openxmlformats.org/officeDocument/2006/relationships/worksheet" Target="/xl/worksheets/sheet4.xml" Id="R9243801e9aea4b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47" hidden="0" customWidth="1"/>
    <x:col min="8" max="8" width="21" hidden="0" customWidth="1"/>
  </x:cols>
  <x:sheetData>
    <x:row r="1" ht="30" customHeight="1">
      <x:c r="A1" s="4" t="str">
        <x:v>System (2026 euros)</x:v>
      </x:c>
      <x:c r="B1" s="4" t="str">
        <x:v>Energy + idle (€bn/y)</x:v>
      </x:c>
      <x:c r="C1" s="4" t="str">
        <x:v>Fish margin (€bn/y)</x:v>
      </x:c>
      <x:c r="D1" s="4" t="str">
        <x:v>Net supplier (€bn/y)</x:v>
      </x:c>
      <x:c r="E1" s="4" t="str">
        <x:v>Fossil same demand (€bn/y)</x:v>
      </x:c>
      <x:c r="G1" s="3" t="str">
        <x:v>Secondary comparators</x:v>
      </x:c>
      <x:c r="H1" s="3" t="str">
        <x:v>Value (€bn/y)</x:v>
      </x:c>
    </x:row>
    <x:row r="2">
      <x:c r="A2" t="str">
        <x:v>2041 constrained transition</x:v>
      </x:c>
      <x:c r="B2" s="8" t="n">
        <x:v>56.218411661</x:v>
      </x:c>
      <x:c r="C2" s="8" t="n">
        <x:v>0.123272273171</x:v>
      </x:c>
      <x:c r="D2" s="8" t="n">
        <x:f>B2-C2</x:f>
        <x:v>56.095139387829</x:v>
      </x:c>
      <x:c r="E2" s="8" t="n">
        <x:v>66.518379919</x:v>
      </x:c>
      <x:c r="G2" t="str">
        <x:v>Completed p5</x:v>
      </x:c>
      <x:c r="H2" t="n">
        <x:v>46.079024173</x:v>
      </x:c>
    </x:row>
    <x:row r="3">
      <x:c r="A3" t="str">
        <x:v>Completed learning-target</x:v>
      </x:c>
      <x:c r="B3" s="8" t="n">
        <x:v>42.777236974</x:v>
      </x:c>
      <x:c r="C3" s="8" t="n">
        <x:v>0</x:v>
      </x:c>
      <x:c r="D3" s="8" t="n">
        <x:f>B3-C3</x:f>
        <x:v>42.777236974</x:v>
      </x:c>
      <x:c r="E3" s="8" t="n">
        <x:v>66.518379919</x:v>
      </x:c>
      <x:c r="G3" t="str">
        <x:v>Completed p95</x:v>
      </x:c>
      <x:c r="H3" t="n">
        <x:v>55.850632648</x:v>
      </x:c>
    </x:row>
    <x:row r="4">
      <x:c r="A4" t="str">
        <x:v>Completed 1000-draw median</x:v>
      </x:c>
      <x:c r="B4" s="8" t="n">
        <x:v>50.510846348</x:v>
      </x:c>
      <x:c r="C4" s="8" t="n">
        <x:v>0</x:v>
      </x:c>
      <x:c r="D4" s="8" t="n">
        <x:f>B4-C4</x:f>
        <x:v>50.510846348</x:v>
      </x:c>
      <x:c r="E4" s="8" t="n">
        <x:v>66.518379919</x:v>
      </x:c>
      <x:c r="G4" t="str">
        <x:v>Consumer vehicle-inclusive p50 (not supplier)</x:v>
      </x:c>
      <x:c r="H4" t="n">
        <x:v>58.97665187</x:v>
      </x:c>
    </x:row>
    <x:row r="5">
      <x:c r="A5" t="str">
        <x:v>Methane-free 2041</x:v>
      </x:c>
      <x:c r="B5" s="8" t="n">
        <x:v>63.868986386</x:v>
      </x:c>
      <x:c r="C5" s="8" t="n">
        <x:v>0.123272273171</x:v>
      </x:c>
      <x:c r="D5" s="8" t="n">
        <x:f>B5-C5</x:f>
        <x:v>63.745714112829006</x:v>
      </x:c>
      <x:c r="E5" s="8" t="n">
        <x:v>66.518379919</x:v>
      </x:c>
      <x:c r="G5" t="str">
        <x:v>Cumulative transition premium 2027–2041</x:v>
      </x:c>
      <x:c r="H5" t="n">
        <x:v>49.836812776</x:v>
      </x:c>
    </x:row>
    <x:row r="6">
      <x:c r="G6" t="str">
        <x:v>Cumulative avoided CO2e (Mt)</x:v>
      </x:c>
      <x:c r="H6" t="n">
        <x:v>1438.842204927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4" customHeight="1">
      <x:c r="A1" s="4" t="str">
        <x:v>Yield dry t/ha/y</x:v>
      </x:c>
      <x:c r="B1" s="4" t="str">
        <x:v>Kelp floor TWh</x:v>
      </x:c>
      <x:c r="C1" s="4" t="str">
        <x:v>LP status</x:v>
      </x:c>
      <x:c r="D1" s="10" t="str">
        <x:v>Fuel supplier €bn/y</x:v>
      </x:c>
      <x:c r="E1" s="10" t="str">
        <x:v>Idle farm €bn/y</x:v>
      </x:c>
      <x:c r="F1" s="10" t="str">
        <x:v>Idle CSP €bn/y</x:v>
      </x:c>
      <x:c r="G1" s="10" t="str">
        <x:v>Fish margin €bn/y</x:v>
      </x:c>
      <x:c r="H1" s="10" t="str">
        <x:v>Net supplier €bn/y</x:v>
      </x:c>
      <x:c r="I1" s="10" t="str">
        <x:v>Difference vs fossil €bn/y</x:v>
      </x:c>
    </x:row>
    <x:row r="2">
      <x:c r="A2" t="n">
        <x:v>20</x:v>
      </x:c>
      <x:c r="B2" t="n">
        <x:v>50</x:v>
      </x:c>
      <x:c r="C2" t="str">
        <x:v>optimal</x:v>
      </x:c>
      <x:c r="D2" t="n">
        <x:v>56.218411661498</x:v>
      </x:c>
      <x:c r="E2" t="n">
        <x:v>0</x:v>
      </x:c>
      <x:c r="F2" t="n">
        <x:v>0</x:v>
      </x:c>
      <x:c r="G2" t="n">
        <x:v>0.123272273171</x:v>
      </x:c>
      <x:c r="H2" t="n">
        <x:f>D2+E2+F2-G2</x:f>
        <x:v>56.095139388327006</x:v>
      </x:c>
      <x:c r="I2" t="n">
        <x:f>H2-'Cost Comparison'!E2</x:f>
        <x:v>-10.423240530672992</x:v>
      </x:c>
    </x:row>
    <x:row r="3">
      <x:c r="A3" t="n">
        <x:v>15</x:v>
      </x:c>
      <x:c r="B3" t="n">
        <x:v>50</x:v>
      </x:c>
      <x:c r="C3" t="str">
        <x:v>optimal</x:v>
      </x:c>
      <x:c r="D3" t="n">
        <x:v>59.880322103726805</x:v>
      </x:c>
      <x:c r="E3" t="n">
        <x:v>0</x:v>
      </x:c>
      <x:c r="F3" t="n">
        <x:v>0.2267931988858816</x:v>
      </x:c>
      <x:c r="G3" t="n">
        <x:v>0.123272273171</x:v>
      </x:c>
      <x:c r="H3" t="n">
        <x:f>D3+E3+F3-G3</x:f>
        <x:v>59.98384302944169</x:v>
      </x:c>
      <x:c r="I3" t="n">
        <x:f>H3-'Cost Comparison'!E2</x:f>
        <x:v>-6.534536889558311</x:v>
      </x:c>
    </x:row>
    <x:row r="4">
      <x:c r="A4" t="n">
        <x:v>10</x:v>
      </x:c>
      <x:c r="B4" t="n">
        <x:v>50</x:v>
      </x:c>
      <x:c r="C4" t="str">
        <x:v>infeasible_or_error</x:v>
      </x:c>
      <x:c r="D4"/>
      <x:c r="E4"/>
      <x:c r="F4"/>
      <x:c r="G4"/>
    </x:row>
    <x:row r="5">
      <x:c r="A5" t="n">
        <x:v>10</x:v>
      </x:c>
      <x:c r="B5" t="n">
        <x:v>0</x:v>
      </x:c>
      <x:c r="C5" t="str">
        <x:v>optimal</x:v>
      </x:c>
      <x:c r="D5" t="n">
        <x:v>63.79481756871194</x:v>
      </x:c>
      <x:c r="E5" t="n">
        <x:v>0</x:v>
      </x:c>
      <x:c r="F5" t="n">
        <x:v>0.27840880338602203</x:v>
      </x:c>
      <x:c r="G5" t="n">
        <x:v>0.123272273171</x:v>
      </x:c>
      <x:c r="H5" t="n">
        <x:f>D5+E5+F5-G5</x:f>
        <x:v>63.949954098926966</x:v>
      </x:c>
      <x:c r="I5" t="n">
        <x:f>H5-'Cost Comparison'!E2</x:f>
        <x:v>-2.568425820073031</x:v>
      </x:c>
    </x:row>
    <x:row r="6">
      <x:c r="A6" t="n">
        <x:v>5.4</x:v>
      </x:c>
      <x:c r="B6" t="n">
        <x:v>50</x:v>
      </x:c>
      <x:c r="C6" t="str">
        <x:v>infeasible_or_error</x:v>
      </x:c>
      <x:c r="D6"/>
      <x:c r="E6"/>
      <x:c r="F6"/>
      <x:c r="G6"/>
    </x:row>
    <x:row r="7">
      <x:c r="A7" t="n">
        <x:v>5.4</x:v>
      </x:c>
      <x:c r="B7" t="n">
        <x:v>0</x:v>
      </x:c>
      <x:c r="C7" t="str">
        <x:v>optimal</x:v>
      </x:c>
      <x:c r="D7" t="n">
        <x:v>67.13804267498251</x:v>
      </x:c>
      <x:c r="E7" t="n">
        <x:v>0</x:v>
      </x:c>
      <x:c r="F7" t="n">
        <x:v>0.4958938450039686</x:v>
      </x:c>
      <x:c r="G7" t="n">
        <x:v>0.123272273171</x:v>
      </x:c>
      <x:c r="H7" t="n">
        <x:f>D7+E7+F7-G7</x:f>
        <x:v>67.51066424681548</x:v>
      </x:c>
      <x:c r="I7" t="n">
        <x:f>H7-'Cost Comparison'!E2</x:f>
        <x:v>0.9922843278154829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4" customHeight="1">
      <x:c r="A1" s="4" t="str">
        <x:v>Year</x:v>
      </x:c>
      <x:c r="B1" s="4" t="str">
        <x:v>Net supplier €bn</x:v>
      </x:c>
      <x:c r="C1" s="4" t="str">
        <x:v>Fossil October 2026 €bn</x:v>
      </x:c>
      <x:c r="D1" s="4" t="str">
        <x:v>Difference €bn</x:v>
      </x:c>
      <x:c r="E1" s="4" t="str">
        <x:v>CO2e model Mt</x:v>
      </x:c>
      <x:c r="F1" s="4" t="str">
        <x:v>Fossil baseline Mt</x:v>
      </x:c>
      <x:c r="G1" s="4" t="str">
        <x:v>Avoided Mt</x:v>
      </x:c>
      <x:c r="H1" s="4" t="str">
        <x:v>E-methane TWh</x:v>
      </x:c>
      <x:c r="I1" s="4" t="str">
        <x:v>Kelp area km2</x:v>
      </x:c>
    </x:row>
    <x:row r="2">
      <x:c r="A2" t="n">
        <x:v>2027</x:v>
      </x:c>
      <x:c r="B2" s="8" t="n">
        <x:v>81.056952125</x:v>
      </x:c>
      <x:c r="C2" s="8" t="n">
        <x:v>69.317364044</x:v>
      </x:c>
      <x:c r="D2" s="8" t="n">
        <x:f>B2-C2</x:f>
        <x:v>11.739588080999994</x:v>
      </x:c>
      <x:c r="E2" s="8" t="n">
        <x:v>170.048651456</x:v>
      </x:c>
      <x:c r="F2" s="8" t="n">
        <x:v>196.488841189</x:v>
      </x:c>
      <x:c r="G2" s="8" t="n">
        <x:f>F2-E2</x:f>
        <x:v>26.44018973300001</x:v>
      </x:c>
      <x:c r="H2" s="8" t="n">
        <x:v>0</x:v>
      </x:c>
      <x:c r="I2" s="8" t="n">
        <x:v>1360.5</x:v>
      </x:c>
    </x:row>
    <x:row r="3">
      <x:c r="A3" t="n">
        <x:v>2028</x:v>
      </x:c>
      <x:c r="B3" s="8" t="n">
        <x:v>81.026460874</x:v>
      </x:c>
      <x:c r="C3" s="8" t="n">
        <x:v>69.117436607</x:v>
      </x:c>
      <x:c r="D3" s="8" t="n">
        <x:f>B3-C3</x:f>
        <x:v>11.909024266999992</x:v>
      </x:c>
      <x:c r="E3" s="8" t="n">
        <x:v>159.533572813</x:v>
      </x:c>
      <x:c r="F3" s="8" t="n">
        <x:v>195.620245574</x:v>
      </x:c>
      <x:c r="G3" s="8" t="n">
        <x:f>F3-E3</x:f>
        <x:v>36.08667276099999</x:v>
      </x:c>
      <x:c r="H3" s="8" t="n">
        <x:v>0</x:v>
      </x:c>
      <x:c r="I3" s="8" t="n">
        <x:v>1360.5</x:v>
      </x:c>
    </x:row>
    <x:row r="4">
      <x:c r="A4" t="n">
        <x:v>2029</x:v>
      </x:c>
      <x:c r="B4" s="8" t="n">
        <x:v>80.667704916</x:v>
      </x:c>
      <x:c r="C4" s="8" t="n">
        <x:v>68.917509169</x:v>
      </x:c>
      <x:c r="D4" s="8" t="n">
        <x:f>B4-C4</x:f>
        <x:v>11.750195747000006</x:v>
      </x:c>
      <x:c r="E4" s="8" t="n">
        <x:v>148.833469575</x:v>
      </x:c>
      <x:c r="F4" s="8" t="n">
        <x:v>194.751649959</x:v>
      </x:c>
      <x:c r="G4" s="8" t="n">
        <x:f>F4-E4</x:f>
        <x:v>45.91818038399998</x:v>
      </x:c>
      <x:c r="H4" s="8" t="n">
        <x:v>7.776456548</x:v>
      </x:c>
      <x:c r="I4" s="8" t="n">
        <x:v>1987.324820696</x:v>
      </x:c>
    </x:row>
    <x:row r="5">
      <x:c r="A5" t="n">
        <x:v>2030</x:v>
      </x:c>
      <x:c r="B5" s="8" t="n">
        <x:v>80.028878901</x:v>
      </x:c>
      <x:c r="C5" s="8" t="n">
        <x:v>68.717581732</x:v>
      </x:c>
      <x:c r="D5" s="8" t="n">
        <x:f>B5-C5</x:f>
        <x:v>11.311297169</x:v>
      </x:c>
      <x:c r="E5" s="8" t="n">
        <x:v>137.708777849</x:v>
      </x:c>
      <x:c r="F5" s="8" t="n">
        <x:v>193.883054344</x:v>
      </x:c>
      <x:c r="G5" s="8" t="n">
        <x:f>F5-E5</x:f>
        <x:v>56.17427649499999</x:v>
      </x:c>
      <x:c r="H5" s="8" t="n">
        <x:v>17.568533333</x:v>
      </x:c>
      <x:c r="I5" s="8" t="n">
        <x:v>3178.926079134</x:v>
      </x:c>
    </x:row>
    <x:row r="6">
      <x:c r="A6" t="n">
        <x:v>2031</x:v>
      </x:c>
      <x:c r="B6" s="8" t="n">
        <x:v>79.292781628</x:v>
      </x:c>
      <x:c r="C6" s="8" t="n">
        <x:v>68.517654294</x:v>
      </x:c>
      <x:c r="D6" s="8" t="n">
        <x:f>B6-C6</x:f>
        <x:v>10.775127334000004</x:v>
      </x:c>
      <x:c r="E6" s="8" t="n">
        <x:v>126.357559871</x:v>
      </x:c>
      <x:c r="F6" s="8" t="n">
        <x:v>193.014458729</x:v>
      </x:c>
      <x:c r="G6" s="8" t="n">
        <x:f>F6-E6</x:f>
        <x:v>66.656898858</x:v>
      </x:c>
      <x:c r="H6" s="8" t="n">
        <x:v>17.125111111</x:v>
      </x:c>
      <x:c r="I6" s="8" t="n">
        <x:v>4495.05835411</x:v>
      </x:c>
    </x:row>
    <x:row r="7">
      <x:c r="A7" t="n">
        <x:v>2032</x:v>
      </x:c>
      <x:c r="B7" s="8" t="n">
        <x:v>78.512873276</x:v>
      </x:c>
      <x:c r="C7" s="8" t="n">
        <x:v>68.317726857</x:v>
      </x:c>
      <x:c r="D7" s="8" t="n">
        <x:f>B7-C7</x:f>
        <x:v>10.195146418999997</x:v>
      </x:c>
      <x:c r="E7" s="8" t="n">
        <x:v>115.100988894</x:v>
      </x:c>
      <x:c r="F7" s="8" t="n">
        <x:v>192.145863114</x:v>
      </x:c>
      <x:c r="G7" s="8" t="n">
        <x:f>F7-E7</x:f>
        <x:v>77.04487422000001</x:v>
      </x:c>
      <x:c r="H7" s="8" t="n">
        <x:v>16.681688889</x:v>
      </x:c>
      <x:c r="I7" s="8" t="n">
        <x:v>5807.660158544</x:v>
      </x:c>
    </x:row>
    <x:row r="8">
      <x:c r="A8" t="n">
        <x:v>2033</x:v>
      </x:c>
      <x:c r="B8" s="8" t="n">
        <x:v>76.347847922</x:v>
      </x:c>
      <x:c r="C8" s="8" t="n">
        <x:v>68.117799419</x:v>
      </x:c>
      <x:c r="D8" s="8" t="n">
        <x:f>B8-C8</x:f>
        <x:v>8.230048503000006</x:v>
      </x:c>
      <x:c r="E8" s="8" t="n">
        <x:v>103.996485472</x:v>
      </x:c>
      <x:c r="F8" s="8" t="n">
        <x:v>191.277267499</x:v>
      </x:c>
      <x:c r="G8" s="8" t="n">
        <x:f>F8-E8</x:f>
        <x:v>87.280782027</x:v>
      </x:c>
      <x:c r="H8" s="8" t="n">
        <x:v>22.866337701</x:v>
      </x:c>
      <x:c r="I8" s="8" t="n">
        <x:v>6649.827125243</x:v>
      </x:c>
    </x:row>
    <x:row r="9">
      <x:c r="A9" t="n">
        <x:v>2034</x:v>
      </x:c>
      <x:c r="B9" s="8" t="n">
        <x:v>74.104094667</x:v>
      </x:c>
      <x:c r="C9" s="8" t="n">
        <x:v>67.917871982</x:v>
      </x:c>
      <x:c r="D9" s="8" t="n">
        <x:f>B9-C9</x:f>
        <x:v>6.186222685000004</x:v>
      </x:c>
      <x:c r="E9" s="8" t="n">
        <x:v>92.971385132</x:v>
      </x:c>
      <x:c r="F9" s="8" t="n">
        <x:v>190.408671884</x:v>
      </x:c>
      <x:c r="G9" s="8" t="n">
        <x:f>F9-E9</x:f>
        <x:v>97.437286752</x:v>
      </x:c>
      <x:c r="H9" s="8" t="n">
        <x:v>25</x:v>
      </x:c>
      <x:c r="I9" s="8" t="n">
        <x:v>7776.601040144</x:v>
      </x:c>
    </x:row>
    <x:row r="10">
      <x:c r="A10" t="n">
        <x:v>2035</x:v>
      </x:c>
      <x:c r="B10" s="8" t="n">
        <x:v>70.797798461</x:v>
      </x:c>
      <x:c r="C10" s="8" t="n">
        <x:v>67.717944544</x:v>
      </x:c>
      <x:c r="D10" s="8" t="n">
        <x:f>B10-C10</x:f>
        <x:v>3.079853916999994</x:v>
      </x:c>
      <x:c r="E10" s="8" t="n">
        <x:v>82.617728893</x:v>
      </x:c>
      <x:c r="F10" s="8" t="n">
        <x:v>189.540076269</x:v>
      </x:c>
      <x:c r="G10" s="8" t="n">
        <x:f>F10-E10</x:f>
        <x:v>106.92234737599999</x:v>
      </x:c>
      <x:c r="H10" s="8" t="n">
        <x:v>25</x:v>
      </x:c>
      <x:c r="I10" s="8" t="n">
        <x:v>11626.429195919</x:v>
      </x:c>
    </x:row>
    <x:row r="11">
      <x:c r="A11" t="n">
        <x:v>2036</x:v>
      </x:c>
      <x:c r="B11" s="8" t="n">
        <x:v>67.470354346</x:v>
      </x:c>
      <x:c r="C11" s="8" t="n">
        <x:v>67.518017107</x:v>
      </x:c>
      <x:c r="D11" s="8" t="n">
        <x:f>B11-C11</x:f>
        <x:v>-0.04766276100001221</x:v>
      </x:c>
      <x:c r="E11" s="8" t="n">
        <x:v>72.30826415</x:v>
      </x:c>
      <x:c r="F11" s="8" t="n">
        <x:v>188.671480654</x:v>
      </x:c>
      <x:c r="G11" s="8" t="n">
        <x:f>F11-E11</x:f>
        <x:v>116.363216504</x:v>
      </x:c>
      <x:c r="H11" s="8" t="n">
        <x:v>25</x:v>
      </x:c>
      <x:c r="I11" s="8" t="n">
        <x:v>15312.170926021</x:v>
      </x:c>
    </x:row>
    <x:row r="12">
      <x:c r="A12" t="n">
        <x:v>2037</x:v>
      </x:c>
      <x:c r="B12" s="8" t="n">
        <x:v>64.132727831</x:v>
      </x:c>
      <x:c r="C12" s="8" t="n">
        <x:v>67.318089669</x:v>
      </x:c>
      <x:c r="D12" s="8" t="n">
        <x:f>B12-C12</x:f>
        <x:v>-3.1853618380000057</x:v>
      </x:c>
      <x:c r="E12" s="8" t="n">
        <x:v>62.079272405</x:v>
      </x:c>
      <x:c r="F12" s="8" t="n">
        <x:v>187.802885039</x:v>
      </x:c>
      <x:c r="G12" s="8" t="n">
        <x:f>F12-E12</x:f>
        <x:v>125.72361263399999</x:v>
      </x:c>
      <x:c r="H12" s="8" t="n">
        <x:v>25</x:v>
      </x:c>
      <x:c r="I12" s="8" t="n">
        <x:v>18818.771521865</x:v>
      </x:c>
    </x:row>
    <x:row r="13">
      <x:c r="A13" t="n">
        <x:v>2038</x:v>
      </x:c>
      <x:c r="B13" s="8" t="n">
        <x:v>61.647337405</x:v>
      </x:c>
      <x:c r="C13" s="8" t="n">
        <x:v>67.118162232</x:v>
      </x:c>
      <x:c r="D13" s="8" t="n">
        <x:f>B13-C13</x:f>
        <x:v>-5.470824827000001</x:v>
      </x:c>
      <x:c r="E13" s="8" t="n">
        <x:v>51.719729882</x:v>
      </x:c>
      <x:c r="F13" s="8" t="n">
        <x:v>186.934289424</x:v>
      </x:c>
      <x:c r="G13" s="8" t="n">
        <x:f>F13-E13</x:f>
        <x:v>135.21455954200002</x:v>
      </x:c>
      <x:c r="H13" s="8" t="n">
        <x:v>34.36822025</x:v>
      </x:c>
      <x:c r="I13" s="8" t="n">
        <x:v>20000</x:v>
      </x:c>
    </x:row>
    <x:row r="14">
      <x:c r="A14" t="n">
        <x:v>2039</x:v>
      </x:c>
      <x:c r="B14" s="8" t="n">
        <x:v>59.707698795</x:v>
      </x:c>
      <x:c r="C14" s="8" t="n">
        <x:v>66.918234794</x:v>
      </x:c>
      <x:c r="D14" s="8" t="n">
        <x:f>B14-C14</x:f>
        <x:v>-7.210535999000001</x:v>
      </x:c>
      <x:c r="E14" s="8" t="n">
        <x:v>41.367309373</x:v>
      </x:c>
      <x:c r="F14" s="8" t="n">
        <x:v>186.065693808</x:v>
      </x:c>
      <x:c r="G14" s="8" t="n">
        <x:f>F14-E14</x:f>
        <x:v>144.69838443499998</x:v>
      </x:c>
      <x:c r="H14" s="8" t="n">
        <x:v>47.785360225</x:v>
      </x:c>
      <x:c r="I14" s="8" t="n">
        <x:v>20000</x:v>
      </x:c>
    </x:row>
    <x:row r="15">
      <x:c r="A15" t="n">
        <x:v>2040</x:v>
      </x:c>
      <x:c r="B15" s="8" t="n">
        <x:v>57.716241967</x:v>
      </x:c>
      <x:c r="C15" s="8" t="n">
        <x:v>66.718307357</x:v>
      </x:c>
      <x:c r="D15" s="8" t="n">
        <x:f>B15-C15</x:f>
        <x:v>-9.002065389999999</x:v>
      </x:c>
      <x:c r="E15" s="8" t="n">
        <x:v>31.244852594</x:v>
      </x:c>
      <x:c r="F15" s="8" t="n">
        <x:v>185.197098193</x:v>
      </x:c>
      <x:c r="G15" s="8" t="n">
        <x:f>F15-E15</x:f>
        <x:v>153.95224559899998</x:v>
      </x:c>
      <x:c r="H15" s="8" t="n">
        <x:v>60.473315402</x:v>
      </x:c>
      <x:c r="I15" s="8" t="n">
        <x:v>20000</x:v>
      </x:c>
    </x:row>
    <x:row r="16">
      <x:c r="A16" t="n">
        <x:v>2041</x:v>
      </x:c>
      <x:c r="B16" s="8" t="n">
        <x:v>56.095139388</x:v>
      </x:c>
      <x:c r="C16" s="8" t="n">
        <x:v>66.518379919</x:v>
      </x:c>
      <x:c r="D16" s="8" t="n">
        <x:f>B16-C16</x:f>
        <x:v>-10.423240530999998</x:v>
      </x:c>
      <x:c r="E16" s="8" t="n">
        <x:v>21.399824971</x:v>
      </x:c>
      <x:c r="F16" s="8" t="n">
        <x:v>184.328502578</x:v>
      </x:c>
      <x:c r="G16" s="8" t="n">
        <x:f>F16-E16</x:f>
        <x:v>162.928677607</x:v>
      </x:c>
      <x:c r="H16" s="8" t="n">
        <x:v>72.830676156</x:v>
      </x:c>
      <x:c r="I16" s="8" t="n">
        <x:v>20000</x:v>
      </x:c>
    </x:row>
    <x:row r="18">
      <x:c r="A18" t="str">
        <x:v>15-year cumulative premium</x:v>
      </x:c>
      <x:c r="D18" t="n">
        <x:f>SUM(D2:D16)</x:f>
        <x:v>49.83681277599998</x:v>
      </x:c>
    </x:row>
    <x:row r="19">
      <x:c r="A19" t="str">
        <x:v>15-year avoided MtCO2e</x:v>
      </x:c>
      <x:c r="G19" t="n">
        <x:f>SUM(G2:G16)</x:f>
        <x:v>1438.842204927</x:v>
      </x:c>
    </x:row>
    <x:row r="20">
      <x:c r="A20" t="str">
        <x:v>Undiscounted €/t avoided</x:v>
      </x:c>
      <x:c r="D20" t="n">
        <x:f>D18*1000/G19</x:f>
        <x:v>34.63674654895772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8" customHeight="1">
      <x:c r="A1" s="4" t="str">
        <x:v>Material</x:v>
      </x:c>
      <x:c r="B1" s="4" t="str">
        <x:v>Density kg/m³</x:v>
      </x:c>
      <x:c r="C1" s="4" t="str">
        <x:v>Neutral dia mm, 10mm steel core</x:v>
      </x:c>
      <x:c r="D1" s="4" t="str">
        <x:v>Extra sealed-air void L/m at 20mm shell</x:v>
      </x:c>
    </x:row>
    <x:row r="2">
      <x:c r="A2" t="str">
        <x:v>PP (screen)</x:v>
      </x:c>
      <x:c r="B2" t="n">
        <x:v>900</x:v>
      </x:c>
      <x:c r="C2" t="n">
        <x:v>75.3658</x:v>
      </x:c>
      <x:c r="D2" t="n">
        <x:v>0.5057</x:v>
      </x:c>
    </x:row>
    <x:row r="3">
      <x:c r="A3" t="str">
        <x:v>HDPE (screen)</x:v>
      </x:c>
      <x:c r="B3" t="n">
        <x:v>950</x:v>
      </x:c>
      <x:c r="C3" t="n">
        <x:v>96.9536</x:v>
      </x:c>
      <x:c r="D3" t="n">
        <x:v>0.5172</x:v>
      </x:c>
    </x:row>
    <x:row r="5">
      <x:c r="A5" t="str">
        <x:v>Solid polymer does not reliably float a loaded steel cable; a sealed void or dedicated buoyancy device is needed.</x:v>
      </x:c>
    </x:row>
    <x:row r="6">
      <x:c r="A6" t="str">
        <x:v>No plastic cost credit, fish-drone efficiency credit, or proven microplastics savings included in fuel optimization.</x:v>
      </x:c>
    </x:row>
  </x:sheetData>
  <x:pageMargins left="0.7" right="0.7" top="0.75" bottom="0.75" header="0.3" footer="0.3"/>
</x:worksheet>
</file>